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730"/>
  <workbookPr/>
  <mc:AlternateContent xmlns:mc="http://schemas.openxmlformats.org/markup-compatibility/2006">
    <mc:Choice Requires="x15">
      <x15ac:absPath xmlns:x15ac="http://schemas.microsoft.com/office/spreadsheetml/2010/11/ac" url="C:\Users\XIMENA\Documents\Sexto semestre\Emprendimiento 2\"/>
    </mc:Choice>
  </mc:AlternateContent>
  <xr:revisionPtr revIDLastSave="0" documentId="8_{618B4164-7F35-4E03-909E-E62E0E1D897F}" xr6:coauthVersionLast="45" xr6:coauthVersionMax="45" xr10:uidLastSave="{00000000-0000-0000-0000-000000000000}"/>
  <bookViews>
    <workbookView xWindow="-110" yWindow="-110" windowWidth="19420" windowHeight="10300" tabRatio="500" activeTab="2" xr2:uid="{00000000-000D-0000-FFFF-FFFF00000000}"/>
  </bookViews>
  <sheets>
    <sheet name="Instrucciones" sheetId="1" r:id="rId1"/>
    <sheet name="Matriz Porter" sheetId="2" r:id="rId2"/>
    <sheet name="PESTEL" sheetId="3" r:id="rId3"/>
    <sheet name="Matriz Competitividad" sheetId="4" r:id="rId4"/>
  </sheets>
  <definedNames>
    <definedName name="_xlnm.Print_Area" localSheetId="0">Instrucciones!$A$1:$C$30</definedName>
    <definedName name="_xlnm.Print_Area" localSheetId="3">'Matriz Competitividad'!$A$1:$H$24</definedName>
    <definedName name="_xlnm.Print_Area" localSheetId="1">'Matriz Porter'!$A$1:$D$42</definedName>
    <definedName name="_xlnm.Print_Area" localSheetId="2">PESTEL!$A$1:$G$21</definedName>
  </definedNames>
  <calcPr calcId="191029" iterateDelta="1E-4"/>
  <extLst>
    <ext xmlns:xcalcf="http://schemas.microsoft.com/office/spreadsheetml/2018/calcfeatures" uri="{B58B0392-4F1F-4190-BB64-5DF3571DCE5F}">
      <xcalcf:calcFeatures>
        <xcalcf:feature name="microsoft.com:RD"/>
        <xcalcf:feature name="microsoft.com:FV"/>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8" i="4" l="1"/>
  <c r="B15" i="4"/>
  <c r="D17" i="4" s="1"/>
  <c r="H14" i="4"/>
  <c r="F14" i="4"/>
  <c r="D14" i="4"/>
  <c r="H13" i="4"/>
  <c r="F13" i="4"/>
  <c r="D13" i="4"/>
  <c r="H12" i="4"/>
  <c r="F12" i="4"/>
  <c r="D12" i="4"/>
  <c r="H11" i="4"/>
  <c r="F11" i="4"/>
  <c r="D11" i="4"/>
  <c r="H10" i="4"/>
  <c r="F10" i="4"/>
  <c r="D10" i="4"/>
  <c r="H9" i="4"/>
  <c r="F9" i="4"/>
  <c r="D9" i="4"/>
  <c r="H8" i="4"/>
  <c r="D8" i="4"/>
  <c r="C33" i="2"/>
  <c r="D33" i="2" s="1"/>
  <c r="C32" i="2"/>
  <c r="D32" i="2" s="1"/>
  <c r="C31" i="2"/>
  <c r="D31" i="2" s="1"/>
  <c r="C30" i="2"/>
  <c r="D30" i="2" s="1"/>
  <c r="C29" i="2"/>
  <c r="D29" i="2" s="1"/>
  <c r="F15" i="4" l="1"/>
  <c r="D15" i="4"/>
  <c r="H15" i="4"/>
  <c r="C35" i="2"/>
</calcChain>
</file>

<file path=xl/sharedStrings.xml><?xml version="1.0" encoding="utf-8"?>
<sst xmlns="http://schemas.openxmlformats.org/spreadsheetml/2006/main" count="160" uniqueCount="141">
  <si>
    <t>HERRAMIENTAS DE DIAGNÓSTICO ESTRATÉGICO</t>
  </si>
  <si>
    <t>CAI Emprendimiento e Innovación II · Universidad de Cundinamarca</t>
  </si>
  <si>
    <t>IMPORTANTE: estas plantillas se diligencian con información real del modelo de negocio o proyecto de emprendimiento que usted viene desarrollando en el CAI de Emprendimiento e Innovación II. No se deben usar ejemplos hipotéticos, de otros sectores, ni datos inventados — toda cifra o hallazgo debe corresponder a su propio proyecto y, cuando se indique, estar respaldado en una fuente real consultada en internet.</t>
  </si>
  <si>
    <t>Contenido de este archivo (3 hojas)</t>
  </si>
  <si>
    <t>Hoja "Matriz Porter"</t>
  </si>
  <si>
    <t>Diligencie los factores y la calificación (1-5) de cada una de las 5 fuerzas, y agregue una observación que explique el porqué de su calificación en cada fuerza.</t>
  </si>
  <si>
    <t>Hoja "PESTEL"</t>
  </si>
  <si>
    <t>Investigue en fuentes reales de internet un hallazgo por cada uno de los 6 factores del macroentorno, cite la fuente, y valore si representa una oportunidad o una amenaza para su proyecto.</t>
  </si>
  <si>
    <t>Hoja "Matriz Competitividad"</t>
  </si>
  <si>
    <t>Compare su negocio con 2 o 3 competidores reales y verificables del mercado, y liste sus ventajas y desventajas frente a ellos.</t>
  </si>
  <si>
    <t>Reglas específicas de cada herramienta</t>
  </si>
  <si>
    <t>•  Matriz Porter: la observación de cada fuerza debe explicar, en sus palabras, por qué calificó así esa fuerza para su propio negocio.</t>
  </si>
  <si>
    <t>•  PESTEL: cada hallazgo debe estar sustentado en una fuente real de internet (entidad oficial, informe, medio de comunicación) — no se acepta información inventada. Registre siempre la fuente.</t>
  </si>
  <si>
    <t>•  Matriz de competitividad: los factores clave de éxito pueden modificarse según la conveniencia y realidad de su negocio — no son fijos.</t>
  </si>
  <si>
    <t>•  Matriz de competitividad: los competidores registrados deben ser negocios reales, con validación y trayectoria demostrable en el mercado (no se aceptan competidores inventados o hipotéticos).</t>
  </si>
  <si>
    <t>•  Matriz de competitividad: al listar ventajas y desventajas frente a la competencia, registre entre 2 y 3 de cada una, sustentadas en los puntajes de la matriz.</t>
  </si>
  <si>
    <t>Leyenda de color</t>
  </si>
  <si>
    <t>Celda editable — escriba aquí</t>
  </si>
  <si>
    <t>Celda calculada automáticamente — no editar</t>
  </si>
  <si>
    <t>Ejemplo ilustrativo con fuente real — reemplace por su dato</t>
  </si>
  <si>
    <t>MATRIZ DE LAS 5 FUERZAS DE PORTER</t>
  </si>
  <si>
    <t>Negocio / proyecto de emprendimiento (CAI):</t>
  </si>
  <si>
    <t>⚠ IMPORTANTE: diligencie esta matriz con el modelo de negocio real que desarrolla en el CAI Emprendimiento e Innovación II. No use ejemplos hipotéticos.</t>
  </si>
  <si>
    <t>Fuerza</t>
  </si>
  <si>
    <t>Factor identificado</t>
  </si>
  <si>
    <t>Calificación
(1-5)</t>
  </si>
  <si>
    <t>Observación de la fuerza
(justifique su calificación)</t>
  </si>
  <si>
    <t>Rivalidad entre competidores</t>
  </si>
  <si>
    <t>Número y tamaño similar de competidores</t>
  </si>
  <si>
    <t>EJEMPLO — Calificamos alto porque en la zona identificamos varios negocios similares que compiten fuerte por precio y promociones; reemplace por su propio análisis.</t>
  </si>
  <si>
    <t>Crecimiento lento del sector</t>
  </si>
  <si>
    <t>Bajos costos de cambio para el cliente</t>
  </si>
  <si>
    <t>Amenaza de nuevos competidores</t>
  </si>
  <si>
    <t>Barreras de entrada: capital, tecnología, normativa</t>
  </si>
  <si>
    <t>Economías de escala de los actuales</t>
  </si>
  <si>
    <t>Identidad de marca y lealtad del cliente</t>
  </si>
  <si>
    <t>Poder de negociación de proveedores</t>
  </si>
  <si>
    <t>Pocos proveedores frente a muchos compradores</t>
  </si>
  <si>
    <t>Insumos únicos o altamente diferenciados</t>
  </si>
  <si>
    <t>Alto costo de cambiar de proveedor</t>
  </si>
  <si>
    <t>Poder de negociación de clientes</t>
  </si>
  <si>
    <t>Pocos clientes que compran grandes volúmenes</t>
  </si>
  <si>
    <t>Producto poco diferenciado</t>
  </si>
  <si>
    <t>Alta sensibilidad al precio</t>
  </si>
  <si>
    <t>Amenaza de productos sustitutos</t>
  </si>
  <si>
    <t>Relación precio-desempeño del sustituto</t>
  </si>
  <si>
    <t>Bajo costo de cambio hacia la alternativa</t>
  </si>
  <si>
    <t>Tendencias que aceleran la sustitución</t>
  </si>
  <si>
    <t>RESUMEN POR FUERZA</t>
  </si>
  <si>
    <t>Promedio</t>
  </si>
  <si>
    <t>Nivel</t>
  </si>
  <si>
    <t>Promedio general del sector</t>
  </si>
  <si>
    <t>Conclusión: atractivo del sector y enfoque estratégico</t>
  </si>
  <si>
    <t>ANÁLISIS PESTEL — MACROENTORNO</t>
  </si>
  <si>
    <t>⚠ IMPORTANTE: toda la información de la columna "Hallazgo en mi sector" debe estar respaldada en una fuente real consultada en internet (entidad oficial, informe, medio de comunicación). No está permitido inventar datos — registre siempre la fuente en la columna correspondiente.</t>
  </si>
  <si>
    <t>¿Qué significa cada columna?</t>
  </si>
  <si>
    <t>Factor:</t>
  </si>
  <si>
    <t>El componente del macroentorno que se está analizando (uno de los 6 de PESTEL).</t>
  </si>
  <si>
    <t>Pregunta orientadora:</t>
  </si>
  <si>
    <t>La pregunta guía que ayuda a investigar ese factor para su sector.</t>
  </si>
  <si>
    <t>Ejemplo ilustrativo (fuente real):</t>
  </si>
  <si>
    <t>Un dato real de Colombia, tomado de una fuente pública, que muestra el tipo de información esperada — no es su dato, debe reemplazarlo por el propio.</t>
  </si>
  <si>
    <t>Hallazgo en mi sector:</t>
  </si>
  <si>
    <t>El dato real que usted encontró en internet, específico para su proyecto de emprendimiento.</t>
  </si>
  <si>
    <t>Fuente / enlace:</t>
  </si>
  <si>
    <t>De dónde tomó la información: entidad, informe o medio, con fecha si es posible.</t>
  </si>
  <si>
    <t>Valoración cualitativa:</t>
  </si>
  <si>
    <t>Si ese hallazgo es una Oportunidad, una Amenaza o Neutral para su proyecto.</t>
  </si>
  <si>
    <t>Implicación estratégica:</t>
  </si>
  <si>
    <t>Qué debería hacer su negocio a partir de ese hallazgo.</t>
  </si>
  <si>
    <t>Factor</t>
  </si>
  <si>
    <t>Pregunta orientadora</t>
  </si>
  <si>
    <t>Ejemplo ilustrativo
(fuente real)</t>
  </si>
  <si>
    <t>Hallazgo en mi sector</t>
  </si>
  <si>
    <t>Fuente / enlace</t>
  </si>
  <si>
    <t>Valoración
cualitativa</t>
  </si>
  <si>
    <t>Implicación estratégica</t>
  </si>
  <si>
    <t>Político</t>
  </si>
  <si>
    <t>¿Existen políticas públicas, normativa o programas que afecten mi sector?</t>
  </si>
  <si>
    <t>El Fondo Emprender del SENA financia planes de negocio de aprendices y egresados con recursos de capital semilla no reembolsable.</t>
  </si>
  <si>
    <t>Económico</t>
  </si>
  <si>
    <t>¿Cómo influyen la inflación, las tasas de interés o el poder adquisitivo en mi negocio?</t>
  </si>
  <si>
    <t>La inflación anual en Colombia se ubicó en 6,14% en junio de 2026, impulsada por alimentos, restaurantes y transporte.</t>
  </si>
  <si>
    <t>Social</t>
  </si>
  <si>
    <t>¿Qué hábitos de consumo, tendencias culturales o cambios demográficos afectan la demanda?</t>
  </si>
  <si>
    <t>Colombia tenía 37,7 millones de identidades activas en redes sociales a finales de 2025, equivalentes al 70,4% de la población.</t>
  </si>
  <si>
    <t>Tecnológico</t>
  </si>
  <si>
    <t>¿Qué innovaciones o herramientas digitales pueden cambiar cómo opero o cómo compran mis clientes?</t>
  </si>
  <si>
    <t>41,7 millones de colombianos usan internet, el 77,8% de la población, impulsando la venta y el pago digital.</t>
  </si>
  <si>
    <t>DataReportal — Digital 2026: Colombia</t>
  </si>
  <si>
    <t>Ecológico</t>
  </si>
  <si>
    <t>¿Qué exigencias de sostenibilidad o regulación ambiental debo considerar?</t>
  </si>
  <si>
    <t>La Ley 2232 de 2022 establece la eliminación gradual de plásticos de un solo uso en Colombia entre 2022 y 2030.</t>
  </si>
  <si>
    <t>Congreso de la República — Ley 2232 de 2022</t>
  </si>
  <si>
    <t>Legal</t>
  </si>
  <si>
    <t>¿Qué normativa comercial, laboral o tributaria debo cumplir para operar formalmente?</t>
  </si>
  <si>
    <t>El salario mínimo legal mensual vigente (SMLMV) para 2026 en Colombia es de $1.750.905, más auxilio de transporte de $249.095.</t>
  </si>
  <si>
    <t>Ministerio de Trabajo — Decretos 1469 y 1470 de 2025</t>
  </si>
  <si>
    <t>MATRIZ DE COMPETITIVIDAD</t>
  </si>
  <si>
    <t>⚠ IMPORTANTE: los factores clave de éxito (columna izquierda) se pueden modificar según la conveniencia y realidad de su negocio. Los competidores deben ser negocios REALES, con validación y trayectoria demostrable en el mercado — no se aceptan competidores inventados.</t>
  </si>
  <si>
    <t>Factor clave de éxito</t>
  </si>
  <si>
    <t>Peso (%)</t>
  </si>
  <si>
    <t>Mi negocio</t>
  </si>
  <si>
    <t>Competidor real 1</t>
  </si>
  <si>
    <t>Competidor real 2</t>
  </si>
  <si>
    <t>(editable)</t>
  </si>
  <si>
    <t>(debe sumar 100%)</t>
  </si>
  <si>
    <t>Calif.
(1-5)</t>
  </si>
  <si>
    <t>Pond.</t>
  </si>
  <si>
    <t>Nombre del competidor real (verificable)</t>
  </si>
  <si>
    <t>Precio</t>
  </si>
  <si>
    <t>Calidad del producto</t>
  </si>
  <si>
    <t>Ubicación</t>
  </si>
  <si>
    <t>Servicio / experiencia</t>
  </si>
  <si>
    <t>Presencia digital</t>
  </si>
  <si>
    <t>TOTAL PONDERADO</t>
  </si>
  <si>
    <t>Control: la suma de los pesos debe ser 100%</t>
  </si>
  <si>
    <t>Ventajas y desventajas frente a la competencia (registre 2 o 3 de cada una)</t>
  </si>
  <si>
    <t>Ventajas frente a la competencia</t>
  </si>
  <si>
    <t>Desventajas frente a la competencia</t>
  </si>
  <si>
    <t>GetYourGuide</t>
  </si>
  <si>
    <t>Viator</t>
  </si>
  <si>
    <t>1. Mayor abarcación internacional</t>
  </si>
  <si>
    <t>2. Mayor variedad de experiencias</t>
  </si>
  <si>
    <t>3. Es una plataforma consolidada</t>
  </si>
  <si>
    <t xml:space="preserve">1. Elevadoos costos para algunas experiencias </t>
  </si>
  <si>
    <t>2. Tene un efoque meramente turistico</t>
  </si>
  <si>
    <t>3. La calidad de la experiencia no depende de ellos, depende de  los proveedores.</t>
  </si>
  <si>
    <t>1. Amplia Variedad de otras actividades</t>
  </si>
  <si>
    <t>2. Estructura solida de sus plataformas (web y apps)</t>
  </si>
  <si>
    <t>3. Facil proceso de reserva</t>
  </si>
  <si>
    <t xml:space="preserve">1. Elevados costos para algunas experiencias </t>
  </si>
  <si>
    <t>2. Tiene un efoque meramente turistico y un catalogo demasiado amplio</t>
  </si>
  <si>
    <t>Ley 2068 de 2020: Fomentan apoyo al turismo que haga algun aporte al ambiente. Y la Ley 1549 de 2012 – Educación Ambiental, ya que esta encaja perfectamente con nuestra empresa</t>
  </si>
  <si>
    <t>Ministerio de Ambiente (https://www.funcionpublica.gov.co/eva/gestornormativo/norma.php?i=48262)                                                                                                  Comercio industria y turismo  (https://www.funcionpublica.gov.co/eva/gestornormativo/norma.php?i=172558)</t>
  </si>
  <si>
    <t>Oportunidad</t>
  </si>
  <si>
    <t>Durante el segundo trimestre de 2026 la inflación continuó aumentando y se alejó de la meta del 3 %, impulsada por mayores costos laborales, un alto nivel de gasto de los hogares y del sector público, y aumentos en los precios de los alimentos. </t>
  </si>
  <si>
    <t>Banco de la Republica de Colombia — (https://banrep.gov.co/es/publicaciones-investigaciones/informe-politica-monetaria/julio-2026?utm)</t>
  </si>
  <si>
    <t>Amenaza</t>
  </si>
  <si>
    <t>Colombia está impulsando precisamente un turismo sostenible, comunitario y de naturaleza. Ya que en el 2026 tubo una participacion en el FITOUR</t>
  </si>
  <si>
    <t>Comercio, Industria y Turismo- (https://www.mincit.gov.co/prensa/noticias/turismo/colombia-dejo-huella-en-fitur-2026?)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</si>
</sst>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0" x14ac:knownFonts="1">
    <font>
      <sz val="11"/>
      <color theme="1"/>
      <name val="Calibri"/>
      <family val="2"/>
      <charset val="1"/>
    </font>
    <font>
      <b/>
      <sz val="16"/>
      <color rgb="FF1B2A4A"/>
      <name val="Calibri"/>
      <charset val="1"/>
    </font>
    <font>
      <i/>
      <sz val="11"/>
      <color rgb="FF5B6B85"/>
      <name val="Calibri"/>
      <charset val="1"/>
    </font>
    <font>
      <b/>
      <sz val="11"/>
      <color rgb="FF7A4A00"/>
      <name val="Calibri"/>
      <charset val="1"/>
    </font>
    <font>
      <b/>
      <sz val="13"/>
      <color rgb="FF1B2A4A"/>
      <name val="Calibri"/>
      <charset val="1"/>
    </font>
    <font>
      <b/>
      <sz val="11"/>
      <color rgb="FFE0A458"/>
      <name val="Calibri"/>
      <charset val="1"/>
    </font>
    <font>
      <sz val="10.5"/>
      <color rgb="FF1B2A4A"/>
      <name val="Calibri"/>
      <charset val="1"/>
    </font>
    <font>
      <b/>
      <sz val="12"/>
      <color rgb="FF1B2A4A"/>
      <name val="Calibri"/>
      <charset val="1"/>
    </font>
    <font>
      <b/>
      <sz val="15"/>
      <color rgb="FF1B2A4A"/>
      <name val="Calibri"/>
      <charset val="1"/>
    </font>
    <font>
      <i/>
      <sz val="10.5"/>
      <color rgb="FF5B6B85"/>
      <name val="Calibri"/>
      <charset val="1"/>
    </font>
    <font>
      <b/>
      <sz val="10"/>
      <color rgb="FF7A4A00"/>
      <name val="Calibri"/>
      <charset val="1"/>
    </font>
    <font>
      <b/>
      <sz val="11"/>
      <color rgb="FFFFFFFF"/>
      <name val="Calibri"/>
      <charset val="1"/>
    </font>
    <font>
      <b/>
      <sz val="10.5"/>
      <color rgb="FF1B2A4A"/>
      <name val="Calibri"/>
      <charset val="1"/>
    </font>
    <font>
      <i/>
      <sz val="10.5"/>
      <color rgb="FF1B2A4A"/>
      <name val="Calibri"/>
      <charset val="1"/>
    </font>
    <font>
      <b/>
      <sz val="11"/>
      <color rgb="FF1B2A4A"/>
      <name val="Calibri"/>
      <charset val="1"/>
    </font>
    <font>
      <b/>
      <sz val="10.5"/>
      <color rgb="FFFFFFFF"/>
      <name val="Calibri"/>
      <charset val="1"/>
    </font>
    <font>
      <b/>
      <sz val="11.5"/>
      <color rgb="FF1B2A4A"/>
      <name val="Calibri"/>
      <charset val="1"/>
    </font>
    <font>
      <b/>
      <sz val="9.5"/>
      <color rgb="FFE0A458"/>
      <name val="Calibri"/>
      <charset val="1"/>
    </font>
    <font>
      <sz val="9.5"/>
      <color rgb="FF1B2A4A"/>
      <name val="Calibri"/>
      <charset val="1"/>
    </font>
    <font>
      <i/>
      <sz val="9.5"/>
      <color rgb="FF5B6B85"/>
      <name val="Calibri"/>
      <charset val="1"/>
    </font>
    <font>
      <i/>
      <sz val="9.5"/>
      <color rgb="FF1B2A4A"/>
      <name val="Calibri"/>
      <charset val="1"/>
    </font>
    <font>
      <i/>
      <sz val="9"/>
      <color rgb="FF5B6B85"/>
      <name val="Calibri"/>
      <charset val="1"/>
    </font>
    <font>
      <b/>
      <sz val="9"/>
      <color rgb="FFFFFFFF"/>
      <name val="Calibri"/>
      <charset val="1"/>
    </font>
    <font>
      <b/>
      <i/>
      <sz val="9.5"/>
      <color rgb="FF1B2A4A"/>
      <name val="Calibri"/>
      <charset val="1"/>
    </font>
    <font>
      <i/>
      <sz val="10"/>
      <color rgb="FF5B6B85"/>
      <name val="Calibri"/>
      <charset val="1"/>
    </font>
    <font>
      <sz val="10"/>
      <color rgb="FF0A0A0A"/>
      <name val="Calibri"/>
      <family val="2"/>
      <scheme val="minor"/>
    </font>
    <font>
      <sz val="10.5"/>
      <color rgb="FF1B2A4A"/>
      <name val="Calibri"/>
      <family val="2"/>
    </font>
    <font>
      <i/>
      <sz val="9"/>
      <color rgb="FF5B6B85"/>
      <name val="Calibri"/>
      <family val="2"/>
    </font>
    <font>
      <i/>
      <sz val="9.5"/>
      <color rgb="FF5B6B85"/>
      <name val="Calibri"/>
      <family val="2"/>
    </font>
    <font>
      <sz val="10"/>
      <color theme="1" tint="0.14999847407452621"/>
      <name val="Calibri"/>
      <family val="2"/>
    </font>
  </fonts>
  <fills count="13">
    <fill>
      <patternFill patternType="none"/>
    </fill>
    <fill>
      <patternFill patternType="gray125"/>
    </fill>
    <fill>
      <patternFill patternType="solid">
        <fgColor rgb="FFFDEBD0"/>
        <bgColor rgb="FFFCE8CB"/>
      </patternFill>
    </fill>
    <fill>
      <patternFill patternType="solid">
        <fgColor rgb="FFFFF2CC"/>
        <bgColor rgb="FFFDEBD0"/>
      </patternFill>
    </fill>
    <fill>
      <patternFill patternType="solid">
        <fgColor rgb="FFD8E3F2"/>
        <bgColor rgb="FFE2EFDA"/>
      </patternFill>
    </fill>
    <fill>
      <patternFill patternType="solid">
        <fgColor rgb="FFE2EFDA"/>
        <bgColor rgb="FFD8E3F2"/>
      </patternFill>
    </fill>
    <fill>
      <patternFill patternType="solid">
        <fgColor rgb="FF1B2A4A"/>
        <bgColor rgb="FF2C3E5C"/>
      </patternFill>
    </fill>
    <fill>
      <patternFill patternType="solid">
        <fgColor rgb="FFF5F7FB"/>
        <bgColor rgb="FFFFFFFF"/>
      </patternFill>
    </fill>
    <fill>
      <patternFill patternType="solid">
        <fgColor rgb="FFFFFFFF"/>
        <bgColor rgb="FFF5F7FB"/>
      </patternFill>
    </fill>
    <fill>
      <patternFill patternType="solid">
        <fgColor rgb="FFE0A458"/>
        <bgColor rgb="FFFF8080"/>
      </patternFill>
    </fill>
    <fill>
      <patternFill patternType="solid">
        <fgColor rgb="FF2C3E5C"/>
        <bgColor rgb="FF1B2A4A"/>
      </patternFill>
    </fill>
    <fill>
      <patternFill patternType="solid">
        <fgColor rgb="FF2E7D46"/>
        <bgColor rgb="FF008080"/>
      </patternFill>
    </fill>
    <fill>
      <patternFill patternType="solid">
        <fgColor rgb="FFA33B3B"/>
        <bgColor rgb="FF993366"/>
      </patternFill>
    </fill>
  </fills>
  <borders count="4">
    <border>
      <left/>
      <right/>
      <top/>
      <bottom/>
      <diagonal/>
    </border>
    <border>
      <left style="thin">
        <color rgb="FFC9D3E0"/>
      </left>
      <right style="thin">
        <color rgb="FFC9D3E0"/>
      </right>
      <top style="thin">
        <color rgb="FFC9D3E0"/>
      </top>
      <bottom style="thin">
        <color rgb="FFC9D3E0"/>
      </bottom>
      <diagonal/>
    </border>
    <border>
      <left style="thin">
        <color rgb="FFC9D3E0"/>
      </left>
      <right/>
      <top style="thin">
        <color rgb="FFC9D3E0"/>
      </top>
      <bottom/>
      <diagonal/>
    </border>
    <border>
      <left style="thin">
        <color rgb="FFC9D3E0"/>
      </left>
      <right/>
      <top style="thin">
        <color rgb="FFC9D3E0"/>
      </top>
      <bottom style="thin">
        <color rgb="FFC9D3E0"/>
      </bottom>
      <diagonal/>
    </border>
  </borders>
  <cellStyleXfs count="1">
    <xf numFmtId="0" fontId="0" fillId="0" borderId="0"/>
  </cellStyleXfs>
  <cellXfs count="59">
    <xf numFmtId="0" fontId="0" fillId="0" borderId="0" xfId="0"/>
    <xf numFmtId="0" fontId="24" fillId="0" borderId="0" xfId="0" applyFont="1" applyBorder="1"/>
    <xf numFmtId="0" fontId="13" fillId="3" borderId="3"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18" fillId="0" borderId="0" xfId="0" applyFont="1" applyBorder="1" applyAlignment="1">
      <alignment vertical="top" wrapText="1"/>
    </xf>
    <xf numFmtId="0" fontId="16" fillId="0" borderId="0" xfId="0" applyFont="1" applyBorder="1"/>
    <xf numFmtId="0" fontId="0" fillId="3" borderId="2" xfId="0" applyFill="1" applyBorder="1" applyAlignment="1">
      <alignment horizontal="left" vertical="top" wrapText="1"/>
    </xf>
    <xf numFmtId="0" fontId="6" fillId="3" borderId="1" xfId="0" applyFont="1" applyFill="1" applyBorder="1" applyAlignment="1">
      <alignment horizontal="left" vertical="center" wrapText="1"/>
    </xf>
    <xf numFmtId="0" fontId="13" fillId="5" borderId="1" xfId="0" applyFont="1" applyFill="1" applyBorder="1" applyAlignment="1">
      <alignment horizontal="left" vertical="center" wrapText="1"/>
    </xf>
    <xf numFmtId="0" fontId="12" fillId="7" borderId="1" xfId="0" applyFont="1" applyFill="1" applyBorder="1" applyAlignment="1">
      <alignment horizontal="left" vertical="center" wrapText="1"/>
    </xf>
    <xf numFmtId="0" fontId="10" fillId="2" borderId="1" xfId="0" applyFont="1" applyFill="1" applyBorder="1" applyAlignment="1">
      <alignment horizontal="left" vertical="center" wrapText="1"/>
    </xf>
    <xf numFmtId="0" fontId="0" fillId="3" borderId="1" xfId="0" applyFill="1" applyBorder="1"/>
    <xf numFmtId="0" fontId="8" fillId="0" borderId="0" xfId="0" applyFont="1" applyBorder="1"/>
    <xf numFmtId="0" fontId="6" fillId="0" borderId="0" xfId="0" applyFont="1" applyBorder="1" applyAlignment="1">
      <alignment vertical="top" wrapText="1"/>
    </xf>
    <xf numFmtId="0" fontId="3" fillId="2" borderId="1" xfId="0" applyFont="1" applyFill="1" applyBorder="1" applyAlignment="1">
      <alignment horizontal="left" vertical="center" wrapText="1"/>
    </xf>
    <xf numFmtId="0" fontId="1" fillId="0" borderId="0" xfId="0" applyFont="1"/>
    <xf numFmtId="0" fontId="2" fillId="0" borderId="0" xfId="0" applyFont="1"/>
    <xf numFmtId="0" fontId="4" fillId="0" borderId="0" xfId="0" applyFont="1"/>
    <xf numFmtId="0" fontId="5" fillId="0" borderId="0" xfId="0" applyFont="1"/>
    <xf numFmtId="0" fontId="7" fillId="0" borderId="0" xfId="0" applyFont="1"/>
    <xf numFmtId="0" fontId="0" fillId="3" borderId="1" xfId="0" applyFill="1" applyBorder="1"/>
    <xf numFmtId="0" fontId="6" fillId="0" borderId="0" xfId="0" applyFont="1"/>
    <xf numFmtId="0" fontId="0" fillId="4" borderId="1" xfId="0" applyFill="1" applyBorder="1"/>
    <xf numFmtId="0" fontId="0" fillId="5" borderId="1" xfId="0" applyFill="1" applyBorder="1"/>
    <xf numFmtId="0" fontId="9" fillId="0" borderId="0" xfId="0" applyFont="1"/>
    <xf numFmtId="0" fontId="11" fillId="6" borderId="1" xfId="0" applyFont="1" applyFill="1" applyBorder="1" applyAlignment="1">
      <alignment horizontal="center" vertical="center" wrapText="1"/>
    </xf>
    <xf numFmtId="0" fontId="12" fillId="7" borderId="1" xfId="0" applyFont="1" applyFill="1" applyBorder="1" applyAlignment="1">
      <alignment horizontal="left" vertical="center" wrapText="1"/>
    </xf>
    <xf numFmtId="0" fontId="6" fillId="8" borderId="1" xfId="0" applyFont="1" applyFill="1" applyBorder="1" applyAlignment="1">
      <alignment horizontal="left" vertical="center" wrapText="1"/>
    </xf>
    <xf numFmtId="0" fontId="6" fillId="3" borderId="1" xfId="0" applyFont="1" applyFill="1" applyBorder="1" applyAlignment="1">
      <alignment horizontal="center" vertical="center" wrapText="1"/>
    </xf>
    <xf numFmtId="0" fontId="13" fillId="3" borderId="1" xfId="0" applyFont="1" applyFill="1" applyBorder="1" applyAlignment="1">
      <alignment horizontal="left" vertical="center" wrapText="1"/>
    </xf>
    <xf numFmtId="0" fontId="6" fillId="3" borderId="1" xfId="0" applyFont="1" applyFill="1" applyBorder="1" applyAlignment="1">
      <alignment horizontal="left" vertical="center" wrapText="1"/>
    </xf>
    <xf numFmtId="0" fontId="12" fillId="0" borderId="1" xfId="0" applyFont="1" applyBorder="1" applyAlignment="1">
      <alignment horizontal="left" vertical="center" wrapText="1"/>
    </xf>
    <xf numFmtId="164" fontId="6" fillId="0" borderId="1" xfId="0" applyNumberFormat="1" applyFont="1" applyBorder="1" applyAlignment="1">
      <alignment horizontal="center" vertical="center" wrapText="1"/>
    </xf>
    <xf numFmtId="0" fontId="12" fillId="0" borderId="1" xfId="0" applyFont="1" applyBorder="1" applyAlignment="1">
      <alignment horizontal="center" vertical="center" wrapText="1"/>
    </xf>
    <xf numFmtId="0" fontId="14" fillId="0" borderId="0" xfId="0" applyFont="1"/>
    <xf numFmtId="164" fontId="15" fillId="9" borderId="1" xfId="0" applyNumberFormat="1" applyFont="1" applyFill="1" applyBorder="1" applyAlignment="1">
      <alignment horizontal="center" vertical="center" wrapText="1"/>
    </xf>
    <xf numFmtId="0" fontId="17" fillId="0" borderId="0" xfId="0" applyFont="1" applyAlignment="1">
      <alignment horizontal="left" vertical="top" wrapText="1"/>
    </xf>
    <xf numFmtId="0" fontId="19" fillId="0" borderId="1" xfId="0" applyFont="1" applyBorder="1" applyAlignment="1">
      <alignment horizontal="left" vertical="center" wrapText="1"/>
    </xf>
    <xf numFmtId="0" fontId="20" fillId="5" borderId="1" xfId="0" applyFont="1" applyFill="1" applyBorder="1" applyAlignment="1">
      <alignment horizontal="left" vertical="center" wrapText="1"/>
    </xf>
    <xf numFmtId="0" fontId="21" fillId="5" borderId="1" xfId="0" applyFont="1" applyFill="1" applyBorder="1" applyAlignment="1">
      <alignment horizontal="left" vertical="center" wrapText="1"/>
    </xf>
    <xf numFmtId="0" fontId="22" fillId="10" borderId="1" xfId="0" applyFont="1" applyFill="1" applyBorder="1" applyAlignment="1">
      <alignment horizontal="center" vertical="center" wrapText="1"/>
    </xf>
    <xf numFmtId="0" fontId="23" fillId="7" borderId="1" xfId="0" applyFont="1" applyFill="1" applyBorder="1" applyAlignment="1">
      <alignment horizontal="left" vertical="center" wrapText="1"/>
    </xf>
    <xf numFmtId="0" fontId="6" fillId="7" borderId="1" xfId="0" applyFont="1" applyFill="1" applyBorder="1" applyAlignment="1">
      <alignment horizontal="left" vertical="center" wrapText="1"/>
    </xf>
    <xf numFmtId="0" fontId="12" fillId="3" borderId="1" xfId="0" applyFont="1" applyFill="1" applyBorder="1" applyAlignment="1">
      <alignment horizontal="left" vertical="center" wrapText="1"/>
    </xf>
    <xf numFmtId="9" fontId="6" fillId="3" borderId="1" xfId="0" applyNumberFormat="1" applyFont="1" applyFill="1" applyBorder="1" applyAlignment="1">
      <alignment horizontal="center" vertical="center" wrapText="1"/>
    </xf>
    <xf numFmtId="2" fontId="6" fillId="0" borderId="1" xfId="0" applyNumberFormat="1" applyFont="1" applyBorder="1" applyAlignment="1">
      <alignment horizontal="center" vertical="center" wrapText="1"/>
    </xf>
    <xf numFmtId="0" fontId="15" fillId="9" borderId="1" xfId="0" applyFont="1" applyFill="1" applyBorder="1" applyAlignment="1">
      <alignment horizontal="left" vertical="center" wrapText="1"/>
    </xf>
    <xf numFmtId="9" fontId="15" fillId="9" borderId="1" xfId="0" applyNumberFormat="1" applyFont="1" applyFill="1" applyBorder="1" applyAlignment="1">
      <alignment horizontal="center" vertical="center" wrapText="1"/>
    </xf>
    <xf numFmtId="0" fontId="0" fillId="9" borderId="1" xfId="0" applyFill="1" applyBorder="1"/>
    <xf numFmtId="2" fontId="15" fillId="9" borderId="1" xfId="0" applyNumberFormat="1" applyFont="1" applyFill="1" applyBorder="1" applyAlignment="1">
      <alignment horizontal="center" vertical="center" wrapText="1"/>
    </xf>
    <xf numFmtId="0" fontId="14" fillId="0" borderId="0" xfId="0" applyFont="1" applyBorder="1"/>
    <xf numFmtId="0" fontId="11" fillId="11" borderId="3" xfId="0" applyFont="1" applyFill="1" applyBorder="1" applyAlignment="1">
      <alignment horizontal="center" vertical="center" wrapText="1"/>
    </xf>
    <xf numFmtId="0" fontId="11" fillId="12" borderId="3" xfId="0" applyFont="1" applyFill="1" applyBorder="1" applyAlignment="1">
      <alignment horizontal="center" vertical="center" wrapText="1"/>
    </xf>
    <xf numFmtId="0" fontId="6" fillId="3" borderId="3" xfId="0" applyFont="1" applyFill="1" applyBorder="1" applyAlignment="1">
      <alignment horizontal="left" vertical="center" wrapText="1"/>
    </xf>
    <xf numFmtId="0" fontId="25" fillId="0" borderId="0" xfId="0" applyFont="1" applyAlignment="1">
      <alignment wrapText="1"/>
    </xf>
    <xf numFmtId="0" fontId="26" fillId="3" borderId="1" xfId="0" applyFont="1" applyFill="1" applyBorder="1" applyAlignment="1">
      <alignment horizontal="left" vertical="center" wrapText="1"/>
    </xf>
    <xf numFmtId="0" fontId="27" fillId="5" borderId="1" xfId="0" applyFont="1" applyFill="1" applyBorder="1" applyAlignment="1">
      <alignment horizontal="left" vertical="center" wrapText="1"/>
    </xf>
    <xf numFmtId="0" fontId="28" fillId="0" borderId="1" xfId="0" applyFont="1" applyBorder="1" applyAlignment="1">
      <alignment horizontal="left" vertical="center" wrapText="1"/>
    </xf>
    <xf numFmtId="0" fontId="29" fillId="0" borderId="0" xfId="0" applyFont="1" applyAlignment="1">
      <alignment wrapText="1"/>
    </xf>
  </cellXfs>
  <cellStyles count="1">
    <cellStyle name="Normal" xfId="0" builtinId="0"/>
  </cellStyles>
  <dxfs count="17">
    <dxf>
      <fill>
        <patternFill>
          <bgColor rgb="FFF5C6C6"/>
        </patternFill>
      </fill>
    </dxf>
    <dxf>
      <fill>
        <patternFill>
          <bgColor rgb="FFC9E7D0"/>
        </patternFill>
      </fill>
    </dxf>
    <dxf>
      <fill>
        <patternFill>
          <bgColor rgb="FFC9E7D0"/>
        </patternFill>
      </fill>
    </dxf>
    <dxf>
      <fill>
        <patternFill>
          <bgColor rgb="FFFCE8CB"/>
        </patternFill>
      </fill>
    </dxf>
    <dxf>
      <fill>
        <patternFill>
          <bgColor rgb="FFF5C6C6"/>
        </patternFill>
      </fill>
    </dxf>
    <dxf>
      <fill>
        <patternFill>
          <bgColor rgb="FFC9E7D0"/>
        </patternFill>
      </fill>
    </dxf>
    <dxf>
      <fill>
        <patternFill>
          <bgColor rgb="FFFCE8CB"/>
        </patternFill>
      </fill>
    </dxf>
    <dxf>
      <fill>
        <patternFill>
          <bgColor rgb="FFF5C6C6"/>
        </patternFill>
      </fill>
    </dxf>
    <dxf>
      <fill>
        <patternFill>
          <bgColor rgb="FFC9E7D0"/>
        </patternFill>
      </fill>
    </dxf>
    <dxf>
      <fill>
        <patternFill>
          <bgColor rgb="FFFCE8CB"/>
        </patternFill>
      </fill>
    </dxf>
    <dxf>
      <fill>
        <patternFill>
          <bgColor rgb="FFF5C6C6"/>
        </patternFill>
      </fill>
    </dxf>
    <dxf>
      <fill>
        <patternFill>
          <bgColor rgb="FFC9E7D0"/>
        </patternFill>
      </fill>
    </dxf>
    <dxf>
      <fill>
        <patternFill>
          <bgColor rgb="FFFCE8CB"/>
        </patternFill>
      </fill>
    </dxf>
    <dxf>
      <fill>
        <patternFill>
          <bgColor rgb="FFF5C6C6"/>
        </patternFill>
      </fill>
    </dxf>
    <dxf>
      <fill>
        <patternFill>
          <bgColor rgb="FFC9E7D0"/>
        </patternFill>
      </fill>
    </dxf>
    <dxf>
      <fill>
        <patternFill>
          <bgColor rgb="FFFCE8CB"/>
        </patternFill>
      </fill>
    </dxf>
    <dxf>
      <fill>
        <patternFill>
          <bgColor rgb="FFF5C6C6"/>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9E7D0"/>
      <rgbColor rgb="FF808080"/>
      <rgbColor rgb="FF9999FF"/>
      <rgbColor rgb="FFA33B3B"/>
      <rgbColor rgb="FFFFF2CC"/>
      <rgbColor rgb="FFD8E3F2"/>
      <rgbColor rgb="FF660066"/>
      <rgbColor rgb="FFFF8080"/>
      <rgbColor rgb="FF0066CC"/>
      <rgbColor rgb="FFC9D3E0"/>
      <rgbColor rgb="FF000080"/>
      <rgbColor rgb="FFFF00FF"/>
      <rgbColor rgb="FFFFFF00"/>
      <rgbColor rgb="FF00FFFF"/>
      <rgbColor rgb="FF800080"/>
      <rgbColor rgb="FF800000"/>
      <rgbColor rgb="FF008080"/>
      <rgbColor rgb="FF0000FF"/>
      <rgbColor rgb="FF00CCFF"/>
      <rgbColor rgb="FFF5F7FB"/>
      <rgbColor rgb="FFE2EFDA"/>
      <rgbColor rgb="FFFDEBD0"/>
      <rgbColor rgb="FF99CCFF"/>
      <rgbColor rgb="FFFCE8CB"/>
      <rgbColor rgb="FFCC99FF"/>
      <rgbColor rgb="FFF5C6C6"/>
      <rgbColor rgb="FF3366FF"/>
      <rgbColor rgb="FF33CCCC"/>
      <rgbColor rgb="FF99CC00"/>
      <rgbColor rgb="FFFFCC00"/>
      <rgbColor rgb="FFE0A458"/>
      <rgbColor rgb="FFFF6600"/>
      <rgbColor rgb="FF5B6B85"/>
      <rgbColor rgb="FF969696"/>
      <rgbColor rgb="FF1B2A4A"/>
      <rgbColor rgb="FF2E7D46"/>
      <rgbColor rgb="FF003300"/>
      <rgbColor rgb="FF333300"/>
      <rgbColor rgb="FF7A4A00"/>
      <rgbColor rgb="FF993366"/>
      <rgbColor rgb="FF333399"/>
      <rgbColor rgb="FF2C3E5C"/>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C28"/>
  <sheetViews>
    <sheetView showGridLines="0" topLeftCell="A13" zoomScaleNormal="100" workbookViewId="0"/>
  </sheetViews>
  <sheetFormatPr baseColWidth="10" defaultColWidth="8.6328125" defaultRowHeight="14.5" x14ac:dyDescent="0.35"/>
  <cols>
    <col min="1" max="1" width="3" customWidth="1"/>
    <col min="2" max="2" width="40" customWidth="1"/>
    <col min="3" max="3" width="62" customWidth="1"/>
  </cols>
  <sheetData>
    <row r="2" spans="2:3" ht="21" x14ac:dyDescent="0.5">
      <c r="B2" s="15" t="s">
        <v>0</v>
      </c>
    </row>
    <row r="3" spans="2:3" x14ac:dyDescent="0.35">
      <c r="B3" s="16" t="s">
        <v>1</v>
      </c>
    </row>
    <row r="5" spans="2:3" ht="78" customHeight="1" x14ac:dyDescent="0.35">
      <c r="B5" s="14" t="s">
        <v>2</v>
      </c>
      <c r="C5" s="14"/>
    </row>
    <row r="7" spans="2:3" ht="17" x14ac:dyDescent="0.4">
      <c r="B7" s="17" t="s">
        <v>3</v>
      </c>
    </row>
    <row r="8" spans="2:3" x14ac:dyDescent="0.35">
      <c r="B8" s="18" t="s">
        <v>4</v>
      </c>
    </row>
    <row r="9" spans="2:3" ht="33.75" customHeight="1" x14ac:dyDescent="0.35">
      <c r="B9" s="13" t="s">
        <v>5</v>
      </c>
      <c r="C9" s="13"/>
    </row>
    <row r="11" spans="2:3" x14ac:dyDescent="0.35">
      <c r="B11" s="18" t="s">
        <v>6</v>
      </c>
    </row>
    <row r="12" spans="2:3" ht="33.75" customHeight="1" x14ac:dyDescent="0.35">
      <c r="B12" s="13" t="s">
        <v>7</v>
      </c>
      <c r="C12" s="13"/>
    </row>
    <row r="14" spans="2:3" x14ac:dyDescent="0.35">
      <c r="B14" s="18" t="s">
        <v>8</v>
      </c>
    </row>
    <row r="15" spans="2:3" ht="33.75" customHeight="1" x14ac:dyDescent="0.35">
      <c r="B15" s="13" t="s">
        <v>9</v>
      </c>
      <c r="C15" s="13"/>
    </row>
    <row r="18" spans="2:3" ht="15.5" x14ac:dyDescent="0.35">
      <c r="B18" s="19" t="s">
        <v>10</v>
      </c>
    </row>
    <row r="19" spans="2:3" ht="30" customHeight="1" x14ac:dyDescent="0.35">
      <c r="B19" s="13" t="s">
        <v>11</v>
      </c>
      <c r="C19" s="13"/>
    </row>
    <row r="20" spans="2:3" ht="30" customHeight="1" x14ac:dyDescent="0.35">
      <c r="B20" s="13" t="s">
        <v>12</v>
      </c>
      <c r="C20" s="13"/>
    </row>
    <row r="21" spans="2:3" ht="30" customHeight="1" x14ac:dyDescent="0.35">
      <c r="B21" s="13" t="s">
        <v>13</v>
      </c>
      <c r="C21" s="13"/>
    </row>
    <row r="22" spans="2:3" ht="30" customHeight="1" x14ac:dyDescent="0.35">
      <c r="B22" s="13" t="s">
        <v>14</v>
      </c>
      <c r="C22" s="13"/>
    </row>
    <row r="23" spans="2:3" ht="30" customHeight="1" x14ac:dyDescent="0.35">
      <c r="B23" s="13" t="s">
        <v>15</v>
      </c>
      <c r="C23" s="13"/>
    </row>
    <row r="25" spans="2:3" ht="15.5" x14ac:dyDescent="0.35">
      <c r="B25" s="19" t="s">
        <v>16</v>
      </c>
    </row>
    <row r="26" spans="2:3" ht="19.5" customHeight="1" x14ac:dyDescent="0.35">
      <c r="B26" s="20"/>
      <c r="C26" s="21" t="s">
        <v>17</v>
      </c>
    </row>
    <row r="27" spans="2:3" ht="19.5" customHeight="1" x14ac:dyDescent="0.35">
      <c r="B27" s="22"/>
      <c r="C27" s="21" t="s">
        <v>18</v>
      </c>
    </row>
    <row r="28" spans="2:3" ht="19.5" customHeight="1" x14ac:dyDescent="0.35">
      <c r="B28" s="23"/>
      <c r="C28" s="21" t="s">
        <v>19</v>
      </c>
    </row>
  </sheetData>
  <mergeCells count="9">
    <mergeCell ref="B20:C20"/>
    <mergeCell ref="B21:C21"/>
    <mergeCell ref="B22:C22"/>
    <mergeCell ref="B23:C23"/>
    <mergeCell ref="B5:C5"/>
    <mergeCell ref="B9:C9"/>
    <mergeCell ref="B12:C12"/>
    <mergeCell ref="B15:C15"/>
    <mergeCell ref="B19:C19"/>
  </mergeCells>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41"/>
  <sheetViews>
    <sheetView showGridLines="0" zoomScaleNormal="100" workbookViewId="0">
      <pane ySplit="5" topLeftCell="A6" activePane="bottomLeft" state="frozen"/>
      <selection pane="bottomLeft"/>
    </sheetView>
  </sheetViews>
  <sheetFormatPr baseColWidth="10" defaultColWidth="8.6328125" defaultRowHeight="14.5" x14ac:dyDescent="0.35"/>
  <cols>
    <col min="1" max="1" width="28" customWidth="1"/>
    <col min="2" max="2" width="44" customWidth="1"/>
    <col min="3" max="3" width="13" customWidth="1"/>
    <col min="4" max="4" width="40" customWidth="1"/>
  </cols>
  <sheetData>
    <row r="1" spans="1:4" ht="19.5" x14ac:dyDescent="0.45">
      <c r="A1" s="12" t="s">
        <v>20</v>
      </c>
      <c r="B1" s="12"/>
      <c r="C1" s="12"/>
      <c r="D1" s="12"/>
    </row>
    <row r="2" spans="1:4" x14ac:dyDescent="0.35">
      <c r="A2" s="24" t="s">
        <v>21</v>
      </c>
      <c r="B2" s="11"/>
      <c r="C2" s="11"/>
      <c r="D2" s="11"/>
    </row>
    <row r="3" spans="1:4" ht="30" customHeight="1" x14ac:dyDescent="0.35">
      <c r="A3" s="10" t="s">
        <v>22</v>
      </c>
      <c r="B3" s="10"/>
      <c r="C3" s="10"/>
      <c r="D3" s="10"/>
    </row>
    <row r="5" spans="1:4" ht="33.75" customHeight="1" x14ac:dyDescent="0.35">
      <c r="A5" s="25" t="s">
        <v>23</v>
      </c>
      <c r="B5" s="25" t="s">
        <v>24</v>
      </c>
      <c r="C5" s="25" t="s">
        <v>25</v>
      </c>
      <c r="D5" s="25" t="s">
        <v>26</v>
      </c>
    </row>
    <row r="6" spans="1:4" ht="15" customHeight="1" x14ac:dyDescent="0.35">
      <c r="A6" s="9" t="s">
        <v>27</v>
      </c>
      <c r="B6" s="27" t="s">
        <v>28</v>
      </c>
      <c r="C6" s="28">
        <v>4</v>
      </c>
      <c r="D6" s="8" t="s">
        <v>29</v>
      </c>
    </row>
    <row r="7" spans="1:4" x14ac:dyDescent="0.35">
      <c r="A7" s="9"/>
      <c r="B7" s="27" t="s">
        <v>30</v>
      </c>
      <c r="C7" s="28">
        <v>3</v>
      </c>
      <c r="D7" s="8"/>
    </row>
    <row r="8" spans="1:4" x14ac:dyDescent="0.35">
      <c r="A8" s="9"/>
      <c r="B8" s="27" t="s">
        <v>31</v>
      </c>
      <c r="C8" s="28">
        <v>4</v>
      </c>
      <c r="D8" s="8"/>
    </row>
    <row r="9" spans="1:4" x14ac:dyDescent="0.35">
      <c r="A9" s="9"/>
      <c r="B9" s="29"/>
      <c r="C9" s="28"/>
      <c r="D9" s="8"/>
    </row>
    <row r="10" spans="1:4" ht="15" customHeight="1" x14ac:dyDescent="0.35">
      <c r="A10" s="9" t="s">
        <v>32</v>
      </c>
      <c r="B10" s="27" t="s">
        <v>33</v>
      </c>
      <c r="C10" s="28"/>
      <c r="D10" s="7"/>
    </row>
    <row r="11" spans="1:4" x14ac:dyDescent="0.35">
      <c r="A11" s="9"/>
      <c r="B11" s="27" t="s">
        <v>34</v>
      </c>
      <c r="C11" s="28"/>
      <c r="D11" s="7"/>
    </row>
    <row r="12" spans="1:4" x14ac:dyDescent="0.35">
      <c r="A12" s="9"/>
      <c r="B12" s="27" t="s">
        <v>35</v>
      </c>
      <c r="C12" s="28"/>
      <c r="D12" s="7"/>
    </row>
    <row r="13" spans="1:4" x14ac:dyDescent="0.35">
      <c r="A13" s="9"/>
      <c r="B13" s="29"/>
      <c r="C13" s="28"/>
      <c r="D13" s="7"/>
    </row>
    <row r="14" spans="1:4" ht="15" customHeight="1" x14ac:dyDescent="0.35">
      <c r="A14" s="9" t="s">
        <v>36</v>
      </c>
      <c r="B14" s="27" t="s">
        <v>37</v>
      </c>
      <c r="C14" s="28"/>
      <c r="D14" s="7"/>
    </row>
    <row r="15" spans="1:4" x14ac:dyDescent="0.35">
      <c r="A15" s="9"/>
      <c r="B15" s="27" t="s">
        <v>38</v>
      </c>
      <c r="C15" s="28"/>
      <c r="D15" s="7"/>
    </row>
    <row r="16" spans="1:4" x14ac:dyDescent="0.35">
      <c r="A16" s="9"/>
      <c r="B16" s="27" t="s">
        <v>39</v>
      </c>
      <c r="C16" s="28"/>
      <c r="D16" s="7"/>
    </row>
    <row r="17" spans="1:4" x14ac:dyDescent="0.35">
      <c r="A17" s="9"/>
      <c r="B17" s="29"/>
      <c r="C17" s="28"/>
      <c r="D17" s="7"/>
    </row>
    <row r="18" spans="1:4" ht="15" customHeight="1" x14ac:dyDescent="0.35">
      <c r="A18" s="9" t="s">
        <v>40</v>
      </c>
      <c r="B18" s="27" t="s">
        <v>41</v>
      </c>
      <c r="C18" s="28"/>
      <c r="D18" s="7"/>
    </row>
    <row r="19" spans="1:4" x14ac:dyDescent="0.35">
      <c r="A19" s="9"/>
      <c r="B19" s="27" t="s">
        <v>42</v>
      </c>
      <c r="C19" s="28"/>
      <c r="D19" s="7"/>
    </row>
    <row r="20" spans="1:4" x14ac:dyDescent="0.35">
      <c r="A20" s="9"/>
      <c r="B20" s="27" t="s">
        <v>43</v>
      </c>
      <c r="C20" s="28"/>
      <c r="D20" s="7"/>
    </row>
    <row r="21" spans="1:4" x14ac:dyDescent="0.35">
      <c r="A21" s="9"/>
      <c r="B21" s="29"/>
      <c r="C21" s="28"/>
      <c r="D21" s="7"/>
    </row>
    <row r="22" spans="1:4" ht="15" customHeight="1" x14ac:dyDescent="0.35">
      <c r="A22" s="9" t="s">
        <v>44</v>
      </c>
      <c r="B22" s="27" t="s">
        <v>45</v>
      </c>
      <c r="C22" s="28"/>
      <c r="D22" s="7"/>
    </row>
    <row r="23" spans="1:4" x14ac:dyDescent="0.35">
      <c r="A23" s="9"/>
      <c r="B23" s="27" t="s">
        <v>46</v>
      </c>
      <c r="C23" s="28"/>
      <c r="D23" s="7"/>
    </row>
    <row r="24" spans="1:4" x14ac:dyDescent="0.35">
      <c r="A24" s="9"/>
      <c r="B24" s="27" t="s">
        <v>47</v>
      </c>
      <c r="C24" s="28"/>
      <c r="D24" s="7"/>
    </row>
    <row r="25" spans="1:4" x14ac:dyDescent="0.35">
      <c r="A25" s="9"/>
      <c r="B25" s="29"/>
      <c r="C25" s="28"/>
      <c r="D25" s="7"/>
    </row>
    <row r="27" spans="1:4" ht="17" x14ac:dyDescent="0.4">
      <c r="A27" s="17" t="s">
        <v>48</v>
      </c>
    </row>
    <row r="28" spans="1:4" ht="21.75" customHeight="1" x14ac:dyDescent="0.35">
      <c r="A28" s="25" t="s">
        <v>23</v>
      </c>
      <c r="C28" s="25" t="s">
        <v>49</v>
      </c>
      <c r="D28" s="25" t="s">
        <v>50</v>
      </c>
    </row>
    <row r="29" spans="1:4" x14ac:dyDescent="0.35">
      <c r="A29" s="31" t="s">
        <v>27</v>
      </c>
      <c r="C29" s="32">
        <f>IFERROR(AVERAGE(C6:C9),"")</f>
        <v>3.6666666666666665</v>
      </c>
      <c r="D29" s="33" t="str">
        <f>IF(C29="","",IF(C29&gt;=3.5,"Alta / crítica",IF(C29&gt;=2.5,"Media","Baja / oportunidad")))</f>
        <v>Alta / crítica</v>
      </c>
    </row>
    <row r="30" spans="1:4" ht="28" x14ac:dyDescent="0.35">
      <c r="A30" s="31" t="s">
        <v>32</v>
      </c>
      <c r="C30" s="32" t="str">
        <f>IFERROR(AVERAGE(C10:C13),"")</f>
        <v/>
      </c>
      <c r="D30" s="33" t="str">
        <f>IF(C30="","",IF(C30&gt;=3.5,"Alta / crítica",IF(C30&gt;=2.5,"Media","Baja / oportunidad")))</f>
        <v/>
      </c>
    </row>
    <row r="31" spans="1:4" ht="28" x14ac:dyDescent="0.35">
      <c r="A31" s="31" t="s">
        <v>36</v>
      </c>
      <c r="C31" s="32" t="str">
        <f>IFERROR(AVERAGE(C14:C17),"")</f>
        <v/>
      </c>
      <c r="D31" s="33" t="str">
        <f>IF(C31="","",IF(C31&gt;=3.5,"Alta / crítica",IF(C31&gt;=2.5,"Media","Baja / oportunidad")))</f>
        <v/>
      </c>
    </row>
    <row r="32" spans="1:4" x14ac:dyDescent="0.35">
      <c r="A32" s="31" t="s">
        <v>40</v>
      </c>
      <c r="C32" s="32" t="str">
        <f>IFERROR(AVERAGE(C18:C21),"")</f>
        <v/>
      </c>
      <c r="D32" s="33" t="str">
        <f>IF(C32="","",IF(C32&gt;=3.5,"Alta / crítica",IF(C32&gt;=2.5,"Media","Baja / oportunidad")))</f>
        <v/>
      </c>
    </row>
    <row r="33" spans="1:4" x14ac:dyDescent="0.35">
      <c r="A33" s="31" t="s">
        <v>44</v>
      </c>
      <c r="C33" s="32" t="str">
        <f>IFERROR(AVERAGE(C22:C25),"")</f>
        <v/>
      </c>
      <c r="D33" s="33" t="str">
        <f>IF(C33="","",IF(C33&gt;=3.5,"Alta / crítica",IF(C33&gt;=2.5,"Media","Baja / oportunidad")))</f>
        <v/>
      </c>
    </row>
    <row r="35" spans="1:4" x14ac:dyDescent="0.35">
      <c r="A35" s="34" t="s">
        <v>51</v>
      </c>
      <c r="C35" s="35">
        <f>IFERROR(AVERAGE(C29:C33),"")</f>
        <v>3.6666666666666665</v>
      </c>
    </row>
    <row r="37" spans="1:4" x14ac:dyDescent="0.35">
      <c r="A37" s="34" t="s">
        <v>52</v>
      </c>
    </row>
    <row r="38" spans="1:4" ht="24" customHeight="1" x14ac:dyDescent="0.35">
      <c r="A38" s="6"/>
      <c r="B38" s="6"/>
      <c r="C38" s="6"/>
      <c r="D38" s="6"/>
    </row>
    <row r="39" spans="1:4" ht="24" customHeight="1" x14ac:dyDescent="0.35">
      <c r="A39" s="6"/>
      <c r="B39" s="6"/>
      <c r="C39" s="6"/>
      <c r="D39" s="6"/>
    </row>
    <row r="40" spans="1:4" ht="24" customHeight="1" x14ac:dyDescent="0.35">
      <c r="A40" s="6"/>
      <c r="B40" s="6"/>
      <c r="C40" s="6"/>
      <c r="D40" s="6"/>
    </row>
    <row r="41" spans="1:4" ht="24" customHeight="1" x14ac:dyDescent="0.35">
      <c r="A41" s="6"/>
      <c r="B41" s="6"/>
      <c r="C41" s="6"/>
      <c r="D41" s="6"/>
    </row>
  </sheetData>
  <mergeCells count="14">
    <mergeCell ref="A22:A25"/>
    <mergeCell ref="D22:D25"/>
    <mergeCell ref="A38:D41"/>
    <mergeCell ref="A10:A13"/>
    <mergeCell ref="D10:D13"/>
    <mergeCell ref="A14:A17"/>
    <mergeCell ref="D14:D17"/>
    <mergeCell ref="A18:A21"/>
    <mergeCell ref="D18:D21"/>
    <mergeCell ref="A1:D1"/>
    <mergeCell ref="B2:D2"/>
    <mergeCell ref="A3:D3"/>
    <mergeCell ref="A6:A9"/>
    <mergeCell ref="D6:D9"/>
  </mergeCells>
  <conditionalFormatting sqref="C29:D29">
    <cfRule type="expression" dxfId="16" priority="2">
      <formula>AND(ISNUMBER($C29),$C29&gt;=3.5)</formula>
    </cfRule>
    <cfRule type="expression" dxfId="15" priority="3">
      <formula>AND(ISNUMBER($C29),$C29&gt;=2.5,$C29&lt;3.5)</formula>
    </cfRule>
    <cfRule type="expression" dxfId="14" priority="4">
      <formula>AND(ISNUMBER($C29),$C29&lt;2.5)</formula>
    </cfRule>
  </conditionalFormatting>
  <conditionalFormatting sqref="C30:D30">
    <cfRule type="expression" dxfId="13" priority="5">
      <formula>AND(ISNUMBER($C30),$C30&gt;=3.5)</formula>
    </cfRule>
    <cfRule type="expression" dxfId="12" priority="6">
      <formula>AND(ISNUMBER($C30),$C30&gt;=2.5,$C30&lt;3.5)</formula>
    </cfRule>
    <cfRule type="expression" dxfId="11" priority="7">
      <formula>AND(ISNUMBER($C30),$C30&lt;2.5)</formula>
    </cfRule>
  </conditionalFormatting>
  <conditionalFormatting sqref="C31:D31">
    <cfRule type="expression" dxfId="10" priority="8">
      <formula>AND(ISNUMBER($C31),$C31&gt;=3.5)</formula>
    </cfRule>
    <cfRule type="expression" dxfId="9" priority="9">
      <formula>AND(ISNUMBER($C31),$C31&gt;=2.5,$C31&lt;3.5)</formula>
    </cfRule>
    <cfRule type="expression" dxfId="8" priority="10">
      <formula>AND(ISNUMBER($C31),$C31&lt;2.5)</formula>
    </cfRule>
  </conditionalFormatting>
  <conditionalFormatting sqref="C32:D32">
    <cfRule type="expression" dxfId="7" priority="11">
      <formula>AND(ISNUMBER($C32),$C32&gt;=3.5)</formula>
    </cfRule>
    <cfRule type="expression" dxfId="6" priority="12">
      <formula>AND(ISNUMBER($C32),$C32&gt;=2.5,$C32&lt;3.5)</formula>
    </cfRule>
    <cfRule type="expression" dxfId="5" priority="13">
      <formula>AND(ISNUMBER($C32),$C32&lt;2.5)</formula>
    </cfRule>
  </conditionalFormatting>
  <conditionalFormatting sqref="C33:D33">
    <cfRule type="expression" dxfId="4" priority="14">
      <formula>AND(ISNUMBER($C33),$C33&gt;=3.5)</formula>
    </cfRule>
    <cfRule type="expression" dxfId="3" priority="15">
      <formula>AND(ISNUMBER($C33),$C33&gt;=2.5,$C33&lt;3.5)</formula>
    </cfRule>
    <cfRule type="expression" dxfId="2" priority="16">
      <formula>AND(ISNUMBER($C33),$C33&lt;2.5)</formula>
    </cfRule>
  </conditionalFormatting>
  <dataValidations count="1">
    <dataValidation type="list" allowBlank="1" sqref="C6:C25" xr:uid="{00000000-0002-0000-0100-000000000000}">
      <formula1>"1,2,3,4,5"</formula1>
      <formula2>0</formula2>
    </dataValidation>
  </dataValidations>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20"/>
  <sheetViews>
    <sheetView showGridLines="0" tabSelected="1" topLeftCell="D1" zoomScale="48" zoomScaleNormal="100" workbookViewId="0">
      <pane ySplit="14" topLeftCell="A15" activePane="bottomLeft" state="frozen"/>
      <selection pane="bottomLeft" activeCell="J17" sqref="J17"/>
    </sheetView>
  </sheetViews>
  <sheetFormatPr baseColWidth="10" defaultColWidth="8.6328125" defaultRowHeight="14.5" x14ac:dyDescent="0.35"/>
  <cols>
    <col min="1" max="1" width="14" customWidth="1"/>
    <col min="2" max="2" width="30" customWidth="1"/>
    <col min="3" max="3" width="32" customWidth="1"/>
    <col min="4" max="4" width="30" customWidth="1"/>
    <col min="5" max="5" width="24" customWidth="1"/>
    <col min="6" max="6" width="15" customWidth="1"/>
    <col min="7" max="7" width="28" customWidth="1"/>
  </cols>
  <sheetData>
    <row r="1" spans="1:7" ht="19.5" x14ac:dyDescent="0.45">
      <c r="A1" s="12" t="s">
        <v>53</v>
      </c>
      <c r="B1" s="12"/>
      <c r="C1" s="12"/>
      <c r="D1" s="12"/>
      <c r="E1" s="12"/>
      <c r="F1" s="12"/>
      <c r="G1" s="12"/>
    </row>
    <row r="2" spans="1:7" x14ac:dyDescent="0.35">
      <c r="A2" s="24" t="s">
        <v>21</v>
      </c>
      <c r="B2" s="11"/>
      <c r="C2" s="11"/>
      <c r="D2" s="11"/>
    </row>
    <row r="3" spans="1:7" ht="31.5" customHeight="1" x14ac:dyDescent="0.35">
      <c r="A3" s="10" t="s">
        <v>54</v>
      </c>
      <c r="B3" s="10"/>
      <c r="C3" s="10"/>
      <c r="D3" s="10"/>
      <c r="E3" s="10"/>
      <c r="F3" s="10"/>
      <c r="G3" s="10"/>
    </row>
    <row r="5" spans="1:7" ht="15" x14ac:dyDescent="0.35">
      <c r="A5" s="5" t="s">
        <v>55</v>
      </c>
      <c r="B5" s="5"/>
      <c r="C5" s="5"/>
      <c r="D5" s="5"/>
      <c r="E5" s="5"/>
      <c r="F5" s="5"/>
      <c r="G5" s="5"/>
    </row>
    <row r="6" spans="1:7" ht="31.5" customHeight="1" x14ac:dyDescent="0.35">
      <c r="A6" s="36" t="s">
        <v>56</v>
      </c>
      <c r="B6" s="4" t="s">
        <v>57</v>
      </c>
      <c r="C6" s="4"/>
      <c r="D6" s="4"/>
      <c r="E6" s="4"/>
      <c r="F6" s="4"/>
      <c r="G6" s="4"/>
    </row>
    <row r="7" spans="1:7" ht="31.5" customHeight="1" x14ac:dyDescent="0.35">
      <c r="A7" s="36" t="s">
        <v>58</v>
      </c>
      <c r="B7" s="4" t="s">
        <v>59</v>
      </c>
      <c r="C7" s="4"/>
      <c r="D7" s="4"/>
      <c r="E7" s="4"/>
      <c r="F7" s="4"/>
      <c r="G7" s="4"/>
    </row>
    <row r="8" spans="1:7" ht="31.5" customHeight="1" x14ac:dyDescent="0.35">
      <c r="A8" s="36" t="s">
        <v>60</v>
      </c>
      <c r="B8" s="4" t="s">
        <v>61</v>
      </c>
      <c r="C8" s="4"/>
      <c r="D8" s="4"/>
      <c r="E8" s="4"/>
      <c r="F8" s="4"/>
      <c r="G8" s="4"/>
    </row>
    <row r="9" spans="1:7" ht="31.5" customHeight="1" x14ac:dyDescent="0.35">
      <c r="A9" s="36" t="s">
        <v>62</v>
      </c>
      <c r="B9" s="4" t="s">
        <v>63</v>
      </c>
      <c r="C9" s="4"/>
      <c r="D9" s="4"/>
      <c r="E9" s="4"/>
      <c r="F9" s="4"/>
      <c r="G9" s="4"/>
    </row>
    <row r="10" spans="1:7" ht="31.5" customHeight="1" x14ac:dyDescent="0.35">
      <c r="A10" s="36" t="s">
        <v>64</v>
      </c>
      <c r="B10" s="4" t="s">
        <v>65</v>
      </c>
      <c r="C10" s="4"/>
      <c r="D10" s="4"/>
      <c r="E10" s="4"/>
      <c r="F10" s="4"/>
      <c r="G10" s="4"/>
    </row>
    <row r="11" spans="1:7" ht="31.5" customHeight="1" x14ac:dyDescent="0.35">
      <c r="A11" s="36" t="s">
        <v>66</v>
      </c>
      <c r="B11" s="4" t="s">
        <v>67</v>
      </c>
      <c r="C11" s="4"/>
      <c r="D11" s="4"/>
      <c r="E11" s="4"/>
      <c r="F11" s="4"/>
      <c r="G11" s="4"/>
    </row>
    <row r="12" spans="1:7" ht="31.5" customHeight="1" x14ac:dyDescent="0.35">
      <c r="A12" s="36" t="s">
        <v>68</v>
      </c>
      <c r="B12" s="4" t="s">
        <v>69</v>
      </c>
      <c r="C12" s="4"/>
      <c r="D12" s="4"/>
      <c r="E12" s="4"/>
      <c r="F12" s="4"/>
      <c r="G12" s="4"/>
    </row>
    <row r="14" spans="1:7" ht="31.5" customHeight="1" x14ac:dyDescent="0.35">
      <c r="A14" s="25" t="s">
        <v>70</v>
      </c>
      <c r="B14" s="25" t="s">
        <v>71</v>
      </c>
      <c r="C14" s="25" t="s">
        <v>72</v>
      </c>
      <c r="D14" s="25" t="s">
        <v>73</v>
      </c>
      <c r="E14" s="25" t="s">
        <v>74</v>
      </c>
      <c r="F14" s="25" t="s">
        <v>75</v>
      </c>
      <c r="G14" s="25" t="s">
        <v>76</v>
      </c>
    </row>
    <row r="15" spans="1:7" ht="95" customHeight="1" x14ac:dyDescent="0.35">
      <c r="A15" s="26" t="s">
        <v>77</v>
      </c>
      <c r="B15" s="37" t="s">
        <v>78</v>
      </c>
      <c r="C15" s="38" t="s">
        <v>79</v>
      </c>
      <c r="D15" s="55" t="s">
        <v>133</v>
      </c>
      <c r="E15" s="39" t="s">
        <v>134</v>
      </c>
      <c r="F15" s="28" t="s">
        <v>135</v>
      </c>
      <c r="G15" s="30"/>
    </row>
    <row r="16" spans="1:7" ht="61.5" customHeight="1" x14ac:dyDescent="0.35">
      <c r="A16" s="26" t="s">
        <v>80</v>
      </c>
      <c r="B16" s="37" t="s">
        <v>81</v>
      </c>
      <c r="C16" s="38" t="s">
        <v>82</v>
      </c>
      <c r="D16" s="54" t="s">
        <v>136</v>
      </c>
      <c r="E16" s="56" t="s">
        <v>137</v>
      </c>
      <c r="F16" s="28" t="s">
        <v>138</v>
      </c>
      <c r="G16" s="30"/>
    </row>
    <row r="17" spans="1:7" ht="61.5" customHeight="1" x14ac:dyDescent="0.35">
      <c r="A17" s="26" t="s">
        <v>83</v>
      </c>
      <c r="B17" s="57" t="s">
        <v>84</v>
      </c>
      <c r="C17" s="38" t="s">
        <v>85</v>
      </c>
      <c r="D17" s="58" t="s">
        <v>139</v>
      </c>
      <c r="E17" s="56" t="s">
        <v>140</v>
      </c>
      <c r="F17" s="28" t="s">
        <v>135</v>
      </c>
      <c r="G17" s="30"/>
    </row>
    <row r="18" spans="1:7" ht="61.5" customHeight="1" x14ac:dyDescent="0.35">
      <c r="A18" s="26" t="s">
        <v>86</v>
      </c>
      <c r="B18" s="37" t="s">
        <v>87</v>
      </c>
      <c r="C18" s="38" t="s">
        <v>88</v>
      </c>
      <c r="D18" s="30"/>
      <c r="E18" s="39" t="s">
        <v>89</v>
      </c>
      <c r="F18" s="28"/>
      <c r="G18" s="30"/>
    </row>
    <row r="19" spans="1:7" ht="61.5" customHeight="1" x14ac:dyDescent="0.35">
      <c r="A19" s="26" t="s">
        <v>90</v>
      </c>
      <c r="B19" s="37" t="s">
        <v>91</v>
      </c>
      <c r="C19" s="38" t="s">
        <v>92</v>
      </c>
      <c r="D19" s="30"/>
      <c r="E19" s="39" t="s">
        <v>93</v>
      </c>
      <c r="F19" s="28"/>
      <c r="G19" s="30"/>
    </row>
    <row r="20" spans="1:7" ht="61.5" customHeight="1" x14ac:dyDescent="0.35">
      <c r="A20" s="26" t="s">
        <v>94</v>
      </c>
      <c r="B20" s="37" t="s">
        <v>95</v>
      </c>
      <c r="C20" s="38" t="s">
        <v>96</v>
      </c>
      <c r="D20" s="30"/>
      <c r="E20" s="39" t="s">
        <v>97</v>
      </c>
      <c r="F20" s="28"/>
      <c r="G20" s="30"/>
    </row>
  </sheetData>
  <mergeCells count="11">
    <mergeCell ref="B12:G12"/>
    <mergeCell ref="B7:G7"/>
    <mergeCell ref="B8:G8"/>
    <mergeCell ref="B9:G9"/>
    <mergeCell ref="B10:G10"/>
    <mergeCell ref="B11:G11"/>
    <mergeCell ref="A1:G1"/>
    <mergeCell ref="B2:D2"/>
    <mergeCell ref="A3:G3"/>
    <mergeCell ref="A5:G5"/>
    <mergeCell ref="B6:G6"/>
  </mergeCells>
  <dataValidations count="1">
    <dataValidation type="list" allowBlank="1" sqref="F15:F20" xr:uid="{00000000-0002-0000-0200-000000000000}">
      <formula1>"Oportunidad,Amenaza,Neutral"</formula1>
      <formula2>0</formula2>
    </dataValidation>
  </dataValidations>
  <pageMargins left="0.75" right="0.75" top="1" bottom="1" header="0.511811023622047" footer="0.511811023622047"/>
  <pageSetup fitToHeight="0" orientation="landscape"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29"/>
  <sheetViews>
    <sheetView showGridLines="0" zoomScaleNormal="100" workbookViewId="0">
      <pane ySplit="6" topLeftCell="A7" activePane="bottomLeft" state="frozen"/>
      <selection pane="bottomLeft" activeCell="J31" sqref="J31"/>
    </sheetView>
  </sheetViews>
  <sheetFormatPr baseColWidth="10" defaultColWidth="8.6328125" defaultRowHeight="14.5" x14ac:dyDescent="0.35"/>
  <cols>
    <col min="1" max="1" width="26" customWidth="1"/>
    <col min="2" max="2" width="10" customWidth="1"/>
    <col min="3" max="3" width="12" customWidth="1"/>
    <col min="4" max="4" width="14" customWidth="1"/>
    <col min="5" max="5" width="12" customWidth="1"/>
    <col min="6" max="6" width="14" customWidth="1"/>
    <col min="7" max="7" width="12" customWidth="1"/>
    <col min="8" max="8" width="14" customWidth="1"/>
  </cols>
  <sheetData>
    <row r="1" spans="1:8" ht="19.5" x14ac:dyDescent="0.45">
      <c r="A1" s="12" t="s">
        <v>98</v>
      </c>
      <c r="B1" s="12"/>
      <c r="C1" s="12"/>
      <c r="D1" s="12"/>
      <c r="E1" s="12"/>
      <c r="F1" s="12"/>
      <c r="G1" s="12"/>
      <c r="H1" s="12"/>
    </row>
    <row r="2" spans="1:8" x14ac:dyDescent="0.35">
      <c r="A2" s="24" t="s">
        <v>21</v>
      </c>
      <c r="C2" s="11"/>
      <c r="D2" s="11"/>
    </row>
    <row r="3" spans="1:8" ht="43.5" customHeight="1" x14ac:dyDescent="0.35">
      <c r="A3" s="10" t="s">
        <v>99</v>
      </c>
      <c r="B3" s="10"/>
      <c r="C3" s="10"/>
      <c r="D3" s="10"/>
      <c r="E3" s="10"/>
      <c r="F3" s="10"/>
      <c r="G3" s="10"/>
      <c r="H3" s="10"/>
    </row>
    <row r="4" spans="1:8" x14ac:dyDescent="0.35">
      <c r="E4" t="s">
        <v>120</v>
      </c>
      <c r="G4" t="s">
        <v>121</v>
      </c>
    </row>
    <row r="5" spans="1:8" ht="24" customHeight="1" x14ac:dyDescent="0.35">
      <c r="A5" s="25" t="s">
        <v>100</v>
      </c>
      <c r="B5" s="25" t="s">
        <v>101</v>
      </c>
      <c r="C5" s="3" t="s">
        <v>102</v>
      </c>
      <c r="D5" s="3"/>
      <c r="E5" s="3" t="s">
        <v>103</v>
      </c>
      <c r="F5" s="3"/>
      <c r="G5" s="3" t="s">
        <v>104</v>
      </c>
      <c r="H5" s="3"/>
    </row>
    <row r="6" spans="1:8" ht="25.5" customHeight="1" x14ac:dyDescent="0.35">
      <c r="A6" s="40" t="s">
        <v>105</v>
      </c>
      <c r="B6" s="40" t="s">
        <v>106</v>
      </c>
      <c r="C6" s="40" t="s">
        <v>107</v>
      </c>
      <c r="D6" s="40" t="s">
        <v>108</v>
      </c>
      <c r="E6" s="40" t="s">
        <v>107</v>
      </c>
      <c r="F6" s="40" t="s">
        <v>108</v>
      </c>
      <c r="G6" s="40" t="s">
        <v>107</v>
      </c>
      <c r="H6" s="40" t="s">
        <v>108</v>
      </c>
    </row>
    <row r="7" spans="1:8" ht="19.5" customHeight="1" x14ac:dyDescent="0.35">
      <c r="A7" s="41" t="s">
        <v>109</v>
      </c>
      <c r="B7" s="42"/>
      <c r="C7" s="2"/>
      <c r="D7" s="2"/>
      <c r="E7" s="2"/>
      <c r="F7" s="2"/>
      <c r="G7" s="2"/>
      <c r="H7" s="2"/>
    </row>
    <row r="8" spans="1:8" x14ac:dyDescent="0.35">
      <c r="A8" s="43" t="s">
        <v>110</v>
      </c>
      <c r="B8" s="44">
        <v>0.2</v>
      </c>
      <c r="C8" s="28">
        <v>4</v>
      </c>
      <c r="D8" s="45">
        <f t="shared" ref="D8:D14" si="0">IF(OR(C8="",$B8=""),"",C8*$B8)</f>
        <v>0.8</v>
      </c>
      <c r="E8" s="28">
        <v>3</v>
      </c>
      <c r="F8" s="45">
        <f>IF(OR(E8="",$B8=""),"",E8*$B8)</f>
        <v>0.60000000000000009</v>
      </c>
      <c r="G8" s="28">
        <v>2</v>
      </c>
      <c r="H8" s="45">
        <f t="shared" ref="H8:H14" si="1">IF(OR(G8="",$B8=""),"",G8*$B8)</f>
        <v>0.4</v>
      </c>
    </row>
    <row r="9" spans="1:8" x14ac:dyDescent="0.35">
      <c r="A9" s="43" t="s">
        <v>111</v>
      </c>
      <c r="B9" s="44">
        <v>0.25</v>
      </c>
      <c r="C9" s="28">
        <v>4</v>
      </c>
      <c r="D9" s="45">
        <f t="shared" si="0"/>
        <v>1</v>
      </c>
      <c r="E9" s="28">
        <v>5</v>
      </c>
      <c r="F9" s="45">
        <f t="shared" ref="F8:F14" si="2">IF(OR(E9="",$B9=""),"",E9*$B9)</f>
        <v>1.25</v>
      </c>
      <c r="G9" s="28">
        <v>5</v>
      </c>
      <c r="H9" s="45">
        <f t="shared" si="1"/>
        <v>1.25</v>
      </c>
    </row>
    <row r="10" spans="1:8" x14ac:dyDescent="0.35">
      <c r="A10" s="43" t="s">
        <v>112</v>
      </c>
      <c r="B10" s="44">
        <v>0.15</v>
      </c>
      <c r="C10" s="28">
        <v>3</v>
      </c>
      <c r="D10" s="45">
        <f t="shared" si="0"/>
        <v>0.44999999999999996</v>
      </c>
      <c r="E10" s="28">
        <v>5</v>
      </c>
      <c r="F10" s="45">
        <f t="shared" si="2"/>
        <v>0.75</v>
      </c>
      <c r="G10" s="28">
        <v>5</v>
      </c>
      <c r="H10" s="45">
        <f t="shared" si="1"/>
        <v>0.75</v>
      </c>
    </row>
    <row r="11" spans="1:8" x14ac:dyDescent="0.35">
      <c r="A11" s="43" t="s">
        <v>113</v>
      </c>
      <c r="B11" s="44">
        <v>0.2</v>
      </c>
      <c r="C11" s="28">
        <v>5</v>
      </c>
      <c r="D11" s="45">
        <f t="shared" si="0"/>
        <v>1</v>
      </c>
      <c r="E11" s="28">
        <v>4</v>
      </c>
      <c r="F11" s="45">
        <f t="shared" si="2"/>
        <v>0.8</v>
      </c>
      <c r="G11" s="28">
        <v>4</v>
      </c>
      <c r="H11" s="45">
        <f t="shared" si="1"/>
        <v>0.8</v>
      </c>
    </row>
    <row r="12" spans="1:8" x14ac:dyDescent="0.35">
      <c r="A12" s="43" t="s">
        <v>114</v>
      </c>
      <c r="B12" s="44">
        <v>0.2</v>
      </c>
      <c r="C12" s="28">
        <v>4</v>
      </c>
      <c r="D12" s="45">
        <f t="shared" si="0"/>
        <v>0.8</v>
      </c>
      <c r="E12" s="28">
        <v>5</v>
      </c>
      <c r="F12" s="45">
        <f t="shared" si="2"/>
        <v>1</v>
      </c>
      <c r="G12" s="28">
        <v>5</v>
      </c>
      <c r="H12" s="45">
        <f t="shared" si="1"/>
        <v>1</v>
      </c>
    </row>
    <row r="13" spans="1:8" x14ac:dyDescent="0.35">
      <c r="A13" s="43"/>
      <c r="B13" s="44"/>
      <c r="C13" s="28"/>
      <c r="D13" s="45" t="str">
        <f t="shared" si="0"/>
        <v/>
      </c>
      <c r="E13" s="28"/>
      <c r="F13" s="45" t="str">
        <f t="shared" si="2"/>
        <v/>
      </c>
      <c r="G13" s="28"/>
      <c r="H13" s="45" t="str">
        <f t="shared" si="1"/>
        <v/>
      </c>
    </row>
    <row r="14" spans="1:8" x14ac:dyDescent="0.35">
      <c r="A14" s="43"/>
      <c r="B14" s="44"/>
      <c r="C14" s="28"/>
      <c r="D14" s="45" t="str">
        <f t="shared" si="0"/>
        <v/>
      </c>
      <c r="E14" s="28"/>
      <c r="F14" s="45" t="str">
        <f t="shared" si="2"/>
        <v/>
      </c>
      <c r="G14" s="28"/>
      <c r="H14" s="45" t="str">
        <f t="shared" si="1"/>
        <v/>
      </c>
    </row>
    <row r="15" spans="1:8" x14ac:dyDescent="0.35">
      <c r="A15" s="46" t="s">
        <v>115</v>
      </c>
      <c r="B15" s="47">
        <f>SUM(B8:B14)</f>
        <v>1</v>
      </c>
      <c r="C15" s="48"/>
      <c r="D15" s="49">
        <f>SUM(D8:D14)</f>
        <v>4.05</v>
      </c>
      <c r="E15" s="48"/>
      <c r="F15" s="49">
        <f>SUM(F8:F14)</f>
        <v>4.4000000000000004</v>
      </c>
      <c r="G15" s="48"/>
      <c r="H15" s="49">
        <f>SUM(H8:H14)</f>
        <v>4.2</v>
      </c>
    </row>
    <row r="17" spans="1:10" ht="28" x14ac:dyDescent="0.35">
      <c r="A17" s="1" t="s">
        <v>116</v>
      </c>
      <c r="B17" s="1"/>
      <c r="C17" s="1"/>
      <c r="D17" s="33" t="str">
        <f>IF(B15=1,"✓ Correcto (100%)","⚠ Revisar — no suma 100%")</f>
        <v>✓ Correcto (100%)</v>
      </c>
    </row>
    <row r="19" spans="1:10" x14ac:dyDescent="0.35">
      <c r="A19" s="50" t="s">
        <v>117</v>
      </c>
      <c r="B19" s="50"/>
      <c r="C19" s="50"/>
      <c r="D19" s="50"/>
      <c r="E19" s="50"/>
      <c r="F19" s="50"/>
      <c r="G19" s="50"/>
      <c r="H19" s="50"/>
    </row>
    <row r="20" spans="1:10" ht="15" customHeight="1" x14ac:dyDescent="0.35">
      <c r="A20" s="51" t="s">
        <v>118</v>
      </c>
      <c r="B20" s="51"/>
      <c r="C20" s="51"/>
      <c r="D20" s="51"/>
      <c r="E20" s="52" t="s">
        <v>119</v>
      </c>
      <c r="F20" s="52"/>
      <c r="G20" s="52"/>
      <c r="H20" s="52"/>
    </row>
    <row r="21" spans="1:10" ht="27.75" customHeight="1" x14ac:dyDescent="0.35">
      <c r="A21" s="53" t="s">
        <v>122</v>
      </c>
      <c r="B21" s="53"/>
      <c r="C21" s="53"/>
      <c r="D21" s="53"/>
      <c r="E21" s="53" t="s">
        <v>125</v>
      </c>
      <c r="F21" s="53"/>
      <c r="G21" s="53"/>
      <c r="H21" s="53"/>
    </row>
    <row r="22" spans="1:10" ht="27.75" customHeight="1" x14ac:dyDescent="0.35">
      <c r="A22" s="53" t="s">
        <v>123</v>
      </c>
      <c r="B22" s="53"/>
      <c r="C22" s="53"/>
      <c r="D22" s="53"/>
      <c r="E22" s="53" t="s">
        <v>126</v>
      </c>
      <c r="F22" s="53"/>
      <c r="G22" s="53"/>
      <c r="H22" s="53"/>
      <c r="J22" t="s">
        <v>120</v>
      </c>
    </row>
    <row r="23" spans="1:10" ht="27.75" customHeight="1" x14ac:dyDescent="0.35">
      <c r="A23" s="53" t="s">
        <v>124</v>
      </c>
      <c r="B23" s="53"/>
      <c r="C23" s="53"/>
      <c r="D23" s="53"/>
      <c r="E23" s="53" t="s">
        <v>127</v>
      </c>
      <c r="F23" s="53"/>
      <c r="G23" s="53"/>
      <c r="H23" s="53"/>
    </row>
    <row r="25" spans="1:10" x14ac:dyDescent="0.35">
      <c r="A25" s="50" t="s">
        <v>117</v>
      </c>
      <c r="B25" s="50"/>
      <c r="C25" s="50"/>
      <c r="D25" s="50"/>
      <c r="E25" s="50"/>
      <c r="F25" s="50"/>
      <c r="G25" s="50"/>
      <c r="H25" s="50"/>
    </row>
    <row r="26" spans="1:10" x14ac:dyDescent="0.35">
      <c r="A26" s="51" t="s">
        <v>118</v>
      </c>
      <c r="B26" s="51"/>
      <c r="C26" s="51"/>
      <c r="D26" s="51"/>
      <c r="E26" s="52" t="s">
        <v>119</v>
      </c>
      <c r="F26" s="52"/>
      <c r="G26" s="52"/>
      <c r="H26" s="52"/>
      <c r="J26" t="s">
        <v>121</v>
      </c>
    </row>
    <row r="27" spans="1:10" x14ac:dyDescent="0.35">
      <c r="A27" s="53" t="s">
        <v>128</v>
      </c>
      <c r="B27" s="53"/>
      <c r="C27" s="53"/>
      <c r="D27" s="53"/>
      <c r="E27" s="53" t="s">
        <v>131</v>
      </c>
      <c r="F27" s="53"/>
      <c r="G27" s="53"/>
      <c r="H27" s="53"/>
    </row>
    <row r="28" spans="1:10" x14ac:dyDescent="0.35">
      <c r="A28" s="53" t="s">
        <v>129</v>
      </c>
      <c r="B28" s="53"/>
      <c r="C28" s="53"/>
      <c r="D28" s="53"/>
      <c r="E28" s="53" t="s">
        <v>132</v>
      </c>
      <c r="F28" s="53"/>
      <c r="G28" s="53"/>
      <c r="H28" s="53"/>
    </row>
    <row r="29" spans="1:10" x14ac:dyDescent="0.35">
      <c r="A29" s="53" t="s">
        <v>130</v>
      </c>
      <c r="B29" s="53"/>
      <c r="C29" s="53"/>
      <c r="D29" s="53"/>
      <c r="E29" s="53" t="s">
        <v>127</v>
      </c>
      <c r="F29" s="53"/>
      <c r="G29" s="53"/>
      <c r="H29" s="53"/>
    </row>
  </sheetData>
  <mergeCells count="28">
    <mergeCell ref="A27:D27"/>
    <mergeCell ref="E27:H27"/>
    <mergeCell ref="A28:D28"/>
    <mergeCell ref="E28:H28"/>
    <mergeCell ref="A29:D29"/>
    <mergeCell ref="E29:H29"/>
    <mergeCell ref="A23:D23"/>
    <mergeCell ref="E23:H23"/>
    <mergeCell ref="A25:H25"/>
    <mergeCell ref="A26:D26"/>
    <mergeCell ref="E26:H26"/>
    <mergeCell ref="A20:D20"/>
    <mergeCell ref="E20:H20"/>
    <mergeCell ref="A21:D21"/>
    <mergeCell ref="E21:H21"/>
    <mergeCell ref="A22:D22"/>
    <mergeCell ref="E22:H22"/>
    <mergeCell ref="C7:D7"/>
    <mergeCell ref="E7:F7"/>
    <mergeCell ref="G7:H7"/>
    <mergeCell ref="A17:C17"/>
    <mergeCell ref="A19:H19"/>
    <mergeCell ref="A1:H1"/>
    <mergeCell ref="C2:D2"/>
    <mergeCell ref="A3:H3"/>
    <mergeCell ref="C5:D5"/>
    <mergeCell ref="E5:F5"/>
    <mergeCell ref="G5:H5"/>
  </mergeCells>
  <conditionalFormatting sqref="D17">
    <cfRule type="expression" dxfId="1" priority="2">
      <formula>B15=1</formula>
    </cfRule>
    <cfRule type="expression" dxfId="0" priority="3">
      <formula>B15&lt;&gt;1</formula>
    </cfRule>
  </conditionalFormatting>
  <dataValidations count="1">
    <dataValidation type="list" allowBlank="1" sqref="C8:C14 E8:E14 G8:G14" xr:uid="{00000000-0002-0000-0300-000000000000}">
      <formula1>"1,2,3,4,5"</formula1>
      <formula2>0</formula2>
    </dataValidation>
  </dataValidations>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4</vt:i4>
      </vt:variant>
      <vt:variant>
        <vt:lpstr>Rangos con nombre</vt:lpstr>
      </vt:variant>
      <vt:variant>
        <vt:i4>4</vt:i4>
      </vt:variant>
    </vt:vector>
  </HeadingPairs>
  <TitlesOfParts>
    <vt:vector size="8" baseType="lpstr">
      <vt:lpstr>Instrucciones</vt:lpstr>
      <vt:lpstr>Matriz Porter</vt:lpstr>
      <vt:lpstr>PESTEL</vt:lpstr>
      <vt:lpstr>Matriz Competitividad</vt:lpstr>
      <vt:lpstr>Instrucciones!Área_de_impresión</vt:lpstr>
      <vt:lpstr>'Matriz Competitividad'!Área_de_impresión</vt:lpstr>
      <vt:lpstr>'Matriz Porter'!Área_de_impresión</vt:lpstr>
      <vt:lpstr>PESTEL!Área_de_impresión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XIMENA</cp:lastModifiedBy>
  <cp:revision>0</cp:revision>
  <dcterms:created xsi:type="dcterms:W3CDTF">2026-08-25T12:26:08Z</dcterms:created>
  <dcterms:modified xsi:type="dcterms:W3CDTF">2026-08-29T01:47:41Z</dcterms:modified>
  <dc:language>en-US</dc:language>
</cp:coreProperties>
</file>